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O Model" sheetId="1" r:id="rId5"/>
    <sheet state="visible" name="Break-even Chart" sheetId="2" r:id="rId6"/>
    <sheet state="visible" name="Source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Epson EcoTank L4260 price S$406.95 from HomenOffice Singapore: https://www.homenoffice.sg/epson-3-in-1-colour-ink-tank-printer-ecotank-l4260</t>
      </text>
    </comment>
    <comment authorId="0" ref="G4">
      <text>
        <t xml:space="preserve">Brother DCP-L2640DW price S$278.00 from Brother Singapore / Best Denki: https://www.brother.com.sg/en/printers/all-printers/dcp-l2640dw ; https://www.bestdenki.com.sg/2917343-brother-multifunction-machine-dcp-l2640dw.html</t>
      </text>
    </comment>
    <comment authorId="0" ref="F5">
      <text>
        <t xml:space="preserve">Epson 003 black ink bottle price S$10.50 from COURTS Singapore: https://www.courts.com.sg/epson-003-bk-ink-bottle-black-ip144085</t>
      </text>
    </comment>
    <comment authorId="0" ref="G5">
      <text>
        <t xml:space="preserve">Brother TN2560 price S$65.00 from Brother Singapore: https://www.brother.com.sg/en/supplies/supplies-detail/tn2560</t>
      </text>
    </comment>
    <comment authorId="0" ref="F6">
      <text>
        <t xml:space="preserve">Epson 003 black yield approx. 4,500 pages: https://www.homenoffice.sg/epson-ink-bottle-003</t>
      </text>
    </comment>
    <comment authorId="0" ref="G6">
      <text>
        <t xml:space="preserve">Brother TN2560 yield up to 1,200 pages: https://www.brother.com.sg/en/supplies/supplies-detail/tn2560</t>
      </text>
    </comment>
    <comment authorId="0" ref="F7">
      <text>
        <t xml:space="preserve">Epson L4260 ready power 4.3W from Epson product page: https://www.epson.eu/en_EU/products/printers/inkjet/consumer/ecotank-l4260-multifunction-wi-fi-ink-tank-a4-printer%2C-with-up-to-3-years-of-ink-included/p/30601</t>
      </text>
    </comment>
    <comment authorId="0" ref="G7">
      <text>
        <t xml:space="preserve">Brother DCP-L2640DW ready power approx. 43W from Brother Singapore: https://www.brother.com.sg/en/printers/all-printers/dcp-l2640dw</t>
      </text>
    </comment>
    <comment authorId="0" ref="B9">
      <text>
        <t xml:space="preserve">EMA regulated tariff Apr-Jun 2026 is S$0.2972/kWh incl. GST. https://www.ema.gov.sg/consumer-information/electricity/buying-electricity/buying-at-regulated-tariff</t>
      </text>
    </comment>
    <comment authorId="0" ref="C17">
      <text>
        <t xml:space="preserve">PaperOne Copier Paper 80gsm A4 at S$5.55/ream from Stationery World Singapore: https://stationeryworld.com.sg/paper-products/copier-papers</t>
      </text>
    </comment>
    <comment authorId="0" ref="F17">
      <text>
        <t xml:space="preserve">PaperOne Copier Paper 80gsm A4 at S$5.55/ream from Stationery World Singapore: https://stationeryworld.com.sg/paper-products/copier-papers</t>
      </text>
    </comment>
  </commentList>
</comments>
</file>

<file path=xl/sharedStrings.xml><?xml version="1.0" encoding="utf-8"?>
<sst xmlns="http://schemas.openxmlformats.org/spreadsheetml/2006/main" count="109" uniqueCount="99">
  <si>
    <t>Lab 2a – Total Cost of Ownership (TCO) Printer Comparison (SGD)</t>
  </si>
  <si>
    <t>Assumptions</t>
  </si>
  <si>
    <t>Printer Inputs</t>
  </si>
  <si>
    <t>Comparison years</t>
  </si>
  <si>
    <t>Lab brief</t>
  </si>
  <si>
    <t>Input</t>
  </si>
  <si>
    <t>Epson EcoTank L4260</t>
  </si>
  <si>
    <t>Brother DCP-L2640DW</t>
  </si>
  <si>
    <t>Notes</t>
  </si>
  <si>
    <t>Weeks per year</t>
  </si>
  <si>
    <t>Standard</t>
  </si>
  <si>
    <t>Purchase price</t>
  </si>
  <si>
    <t>Printer price</t>
  </si>
  <si>
    <t>Pages per week</t>
  </si>
  <si>
    <t>Consumable price</t>
  </si>
  <si>
    <t>Black ink bottle / toner</t>
  </si>
  <si>
    <t>Hours powered per week</t>
  </si>
  <si>
    <t>Consumable yield (pages)</t>
  </si>
  <si>
    <t>Approx. pages per unit</t>
  </si>
  <si>
    <t>Total pages (5 yrs)</t>
  </si>
  <si>
    <t>Formula</t>
  </si>
  <si>
    <t>Ready power (W)</t>
  </si>
  <si>
    <t>Used for electricity estimate</t>
  </si>
  <si>
    <t>Paper sheets per ream</t>
  </si>
  <si>
    <t>Electricity tariff (SGD/kWh)</t>
  </si>
  <si>
    <t>EMA Apr-Jun 2026 incl. GST</t>
  </si>
  <si>
    <t>Print mix</t>
  </si>
  <si>
    <t>Mostly black text documents</t>
  </si>
  <si>
    <t>Simplifying assumption</t>
  </si>
  <si>
    <t>5-Year TCO Calculation</t>
  </si>
  <si>
    <t>Cost item</t>
  </si>
  <si>
    <t>Type</t>
  </si>
  <si>
    <t>Epson unit price</t>
  </si>
  <si>
    <t>Epson units</t>
  </si>
  <si>
    <t>Epson total</t>
  </si>
  <si>
    <t>Brother unit price</t>
  </si>
  <si>
    <t>Brother units</t>
  </si>
  <si>
    <t>Brother total</t>
  </si>
  <si>
    <t>Note</t>
  </si>
  <si>
    <t>Printer purchase</t>
  </si>
  <si>
    <t>Fixed</t>
  </si>
  <si>
    <t>Unit price × units</t>
  </si>
  <si>
    <t>Consumables</t>
  </si>
  <si>
    <t>Variable</t>
  </si>
  <si>
    <t>Round up units needed</t>
  </si>
  <si>
    <t>Paper</t>
  </si>
  <si>
    <t>Same for both</t>
  </si>
  <si>
    <t>Electricity</t>
  </si>
  <si>
    <t>Tariff × kWh</t>
  </si>
  <si>
    <t>Total TCO (5 years)</t>
  </si>
  <si>
    <t>Cost per page</t>
  </si>
  <si>
    <t>Cheaper option</t>
  </si>
  <si>
    <t>Difference</t>
  </si>
  <si>
    <t>Home-Use Sensitivity Check (5 pages/week)</t>
  </si>
  <si>
    <t>Break-even</t>
  </si>
  <si>
    <t>Metric</t>
  </si>
  <si>
    <t>Epson</t>
  </si>
  <si>
    <t>Brother</t>
  </si>
  <si>
    <t>Value</t>
  </si>
  <si>
    <t>Total pages in 5 years</t>
  </si>
  <si>
    <t>5 pages/week</t>
  </si>
  <si>
    <t>Purchase price difference</t>
  </si>
  <si>
    <t>Epson costs more upfront</t>
  </si>
  <si>
    <t>Consumables needed</t>
  </si>
  <si>
    <t>Black pages only</t>
  </si>
  <si>
    <t>Variable cost/page (Epson)</t>
  </si>
  <si>
    <t>Consumables + paper + electricity</t>
  </si>
  <si>
    <t>Home-use TCO</t>
  </si>
  <si>
    <t>Electricity scaled to low usage</t>
  </si>
  <si>
    <t>Variable cost/page (Brother)</t>
  </si>
  <si>
    <t>Break-even pages</t>
  </si>
  <si>
    <t>Pages where Epson catches up</t>
  </si>
  <si>
    <t>Break-even weeks @750 p/w</t>
  </si>
  <si>
    <t>Pages divided by weekly volume</t>
  </si>
  <si>
    <t>Break-even progression (total cost vs pages printed)</t>
  </si>
  <si>
    <t>Pages printed</t>
  </si>
  <si>
    <t>Epson total cost</t>
  </si>
  <si>
    <t>Brother total cost</t>
  </si>
  <si>
    <t>Item</t>
  </si>
  <si>
    <t>Source / notes</t>
  </si>
  <si>
    <t>Printer-comparison TCO scenario with 5 years, 750 pages/week, 40 hours/week.</t>
  </si>
  <si>
    <t>Epson printer price</t>
  </si>
  <si>
    <t>https://www.homenoffice.sg/epson-3-in-1-colour-ink-tank-printer-ecotank-l4260</t>
  </si>
  <si>
    <t>Brother printer price</t>
  </si>
  <si>
    <t>https://www.brother.com.sg/en/printers/all-printers/dcp-l2640dw ; https://www.bestdenki.com.sg/2917343-brother-multifunction-machine-dcp-l2640dw.html</t>
  </si>
  <si>
    <t>Epson black ink bottle price</t>
  </si>
  <si>
    <t>https://www.courts.com.sg/epson-003-bk-ink-bottle-black-ip144085</t>
  </si>
  <si>
    <t>Epson black ink yield</t>
  </si>
  <si>
    <t>https://www.homenoffice.sg/epson-ink-bottle-003</t>
  </si>
  <si>
    <t>Brother TN2560 toner price and yield</t>
  </si>
  <si>
    <t>https://www.brother.com.sg/en/supplies/supplies-detail/tn2560</t>
  </si>
  <si>
    <t>Paper ream price</t>
  </si>
  <si>
    <t>https://stationeryworld.com.sg/paper-products/copier-papers</t>
  </si>
  <si>
    <t>Electricity tariff</t>
  </si>
  <si>
    <t>https://www.ema.gov.sg/consumer-information/electricity/buying-electricity/buying-at-regulated-tariff</t>
  </si>
  <si>
    <t>Epson ready power</t>
  </si>
  <si>
    <t>https://www.epson.eu/en_EU/products/printers/inkjet/consumer/ecotank-l4260-multifunction-wi-fi-ink-tank-a4-printer%2C-with-up-to-3-years-of-ink-included/p/30601</t>
  </si>
  <si>
    <t>Brother ready power</t>
  </si>
  <si>
    <t>https://www.brother.com.sg/en/printers/all-printers/dcp-l2640dw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</si>
</sst>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S$#,##0.00;[Red](S$#,##0.00);-"/>
  </numFmts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FF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color rgb="FF666666"/>
      <name val="Calibri"/>
      <scheme val="minor"/>
    </font>
    <font>
      <b/>
      <sz val="13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21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2" fontId="3" numFmtId="0" xfId="0" applyBorder="1" applyFont="1"/>
    <xf borderId="6" fillId="2" fontId="3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shrinkToFit="0" wrapText="1"/>
    </xf>
    <xf borderId="9" fillId="0" fontId="6" numFmtId="4" xfId="0" applyAlignment="1" applyBorder="1" applyFont="1" applyNumberFormat="1">
      <alignment shrinkToFit="0" wrapText="1"/>
    </xf>
    <xf borderId="9" fillId="0" fontId="5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9" fillId="3" fontId="7" numFmtId="0" xfId="0" applyAlignment="1" applyBorder="1" applyFill="1" applyFont="1">
      <alignment shrinkToFit="0" wrapText="1"/>
    </xf>
    <xf borderId="10" fillId="3" fontId="7" numFmtId="0" xfId="0" applyAlignment="1" applyBorder="1" applyFont="1">
      <alignment shrinkToFit="0" wrapText="1"/>
    </xf>
    <xf borderId="10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9" fillId="0" fontId="8" numFmtId="4" xfId="0" applyAlignment="1" applyBorder="1" applyFont="1" applyNumberFormat="1">
      <alignment shrinkToFit="0" wrapText="1"/>
    </xf>
    <xf borderId="7" fillId="0" fontId="4" numFmtId="0" xfId="0" applyAlignment="1" applyBorder="1" applyFont="1">
      <alignment shrinkToFit="0" wrapText="1"/>
    </xf>
    <xf borderId="8" fillId="0" fontId="5" numFmtId="0" xfId="0" applyAlignment="1" applyBorder="1" applyFont="1">
      <alignment readingOrder="0" shrinkToFit="0" wrapText="1"/>
    </xf>
    <xf borderId="9" fillId="0" fontId="6" numFmtId="4" xfId="0" applyAlignment="1" applyBorder="1" applyFont="1" applyNumberFormat="1">
      <alignment readingOrder="0" shrinkToFit="0" wrapText="1"/>
    </xf>
    <xf borderId="12" fillId="0" fontId="5" numFmtId="0" xfId="0" applyAlignment="1" applyBorder="1" applyFont="1">
      <alignment shrinkToFit="0" wrapText="1"/>
    </xf>
    <xf borderId="13" fillId="0" fontId="9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14" fillId="0" fontId="4" numFmtId="0" xfId="0" applyAlignment="1" applyBorder="1" applyFont="1">
      <alignment shrinkToFit="0" wrapText="1"/>
    </xf>
    <xf borderId="15" fillId="0" fontId="4" numFmtId="0" xfId="0" applyAlignment="1" applyBorder="1" applyFont="1">
      <alignment shrinkToFit="0" wrapText="1"/>
    </xf>
    <xf borderId="16" fillId="2" fontId="3" numFmtId="0" xfId="0" applyAlignment="1" applyBorder="1" applyFont="1">
      <alignment shrinkToFit="0" wrapText="1"/>
    </xf>
    <xf borderId="17" fillId="0" fontId="4" numFmtId="0" xfId="0" applyAlignment="1" applyBorder="1" applyFont="1">
      <alignment shrinkToFit="0" wrapText="1"/>
    </xf>
    <xf borderId="18" fillId="0" fontId="4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9" fillId="3" fontId="7" numFmtId="0" xfId="0" applyAlignment="1" applyBorder="1" applyFont="1">
      <alignment horizontal="center" shrinkToFit="0" wrapText="1"/>
    </xf>
    <xf borderId="10" fillId="3" fontId="7" numFmtId="0" xfId="0" applyAlignment="1" applyBorder="1" applyFont="1">
      <alignment horizontal="center" shrinkToFit="0" wrapText="1"/>
    </xf>
    <xf borderId="9" fillId="0" fontId="5" numFmtId="4" xfId="0" applyAlignment="1" applyBorder="1" applyFont="1" applyNumberFormat="1">
      <alignment shrinkToFit="0" wrapText="1"/>
    </xf>
    <xf borderId="19" fillId="0" fontId="4" numFmtId="0" xfId="0" applyAlignment="1" applyBorder="1" applyFont="1">
      <alignment shrinkToFit="0" wrapText="1"/>
    </xf>
    <xf borderId="0" fillId="0" fontId="4" numFmtId="4" xfId="0" applyAlignment="1" applyFont="1" applyNumberFormat="1">
      <alignment shrinkToFit="0" wrapText="1"/>
    </xf>
    <xf borderId="8" fillId="4" fontId="7" numFmtId="0" xfId="0" applyAlignment="1" applyBorder="1" applyFill="1" applyFont="1">
      <alignment shrinkToFit="0" wrapText="1"/>
    </xf>
    <xf borderId="9" fillId="0" fontId="5" numFmtId="164" xfId="0" applyAlignment="1" applyBorder="1" applyFont="1" applyNumberFormat="1">
      <alignment shrinkToFit="0" wrapText="1"/>
    </xf>
    <xf borderId="12" fillId="4" fontId="7" numFmtId="0" xfId="0" applyAlignment="1" applyBorder="1" applyFont="1">
      <alignment shrinkToFit="0" wrapText="1"/>
    </xf>
    <xf borderId="13" fillId="4" fontId="7" numFmtId="0" xfId="0" applyAlignment="1" applyBorder="1" applyFont="1">
      <alignment shrinkToFit="0" wrapText="1"/>
    </xf>
    <xf borderId="13" fillId="0" fontId="5" numFmtId="4" xfId="0" applyAlignment="1" applyBorder="1" applyFont="1" applyNumberFormat="1">
      <alignment shrinkToFit="0" wrapText="1"/>
    </xf>
    <xf borderId="20" fillId="0" fontId="5" numFmtId="0" xfId="0" applyAlignment="1" applyBorder="1" applyFont="1">
      <alignment shrinkToFit="0" wrapText="1"/>
    </xf>
    <xf borderId="0" fillId="0" fontId="10" numFmtId="0" xfId="0" applyFont="1"/>
    <xf borderId="0" fillId="0" fontId="4" numFmtId="0" xfId="0" applyFont="1"/>
    <xf borderId="0" fillId="0" fontId="5" numFmtId="165" xfId="0" applyFont="1" applyNumberFormat="1"/>
    <xf borderId="6" fillId="3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cost progression by pages printed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'Break-even Chart'!$B$2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'Break-even Chart'!$A$3:$A$10</c:f>
            </c:strRef>
          </c:cat>
          <c:val>
            <c:numRef>
              <c:f>'Break-even Chart'!$B$3:$B$10</c:f>
              <c:numCache/>
            </c:numRef>
          </c:val>
          <c:smooth val="0"/>
        </c:ser>
        <c:ser>
          <c:idx val="1"/>
          <c:order val="1"/>
          <c:tx>
            <c:strRef>
              <c:f>'Break-even Chart'!$C$2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'Break-even Chart'!$A$3:$A$10</c:f>
            </c:strRef>
          </c:cat>
          <c:val>
            <c:numRef>
              <c:f>'Break-even Chart'!$C$3:$C$10</c:f>
              <c:numCache/>
            </c:numRef>
          </c:val>
          <c:smooth val="0"/>
        </c:ser>
        <c:axId val="1956958226"/>
        <c:axId val="1498989212"/>
      </c:lineChart>
      <c:catAx>
        <c:axId val="1956958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Pages printed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989212"/>
      </c:catAx>
      <c:valAx>
        <c:axId val="1498989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Cost (S$)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958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503872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5.0"/>
    <col customWidth="1" min="3" max="3" width="24.57"/>
    <col customWidth="1" min="4" max="4" width="14.0"/>
    <col customWidth="1" min="5" max="5" width="16.0"/>
    <col customWidth="1" min="6" max="6" width="18.0"/>
    <col customWidth="1" min="7" max="7" width="14.0"/>
    <col customWidth="1" min="8" max="8" width="31.71"/>
    <col customWidth="1" min="9" max="9" width="30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>
      <c r="A2" s="5" t="s">
        <v>1</v>
      </c>
      <c r="E2" s="6" t="s">
        <v>2</v>
      </c>
      <c r="H2" s="7"/>
    </row>
    <row r="3">
      <c r="A3" s="8" t="s">
        <v>3</v>
      </c>
      <c r="B3" s="9">
        <v>5.0</v>
      </c>
      <c r="C3" s="10" t="s">
        <v>4</v>
      </c>
      <c r="D3" s="11"/>
      <c r="E3" s="12" t="s">
        <v>5</v>
      </c>
      <c r="F3" s="12" t="s">
        <v>6</v>
      </c>
      <c r="G3" s="12" t="s">
        <v>7</v>
      </c>
      <c r="H3" s="13" t="s">
        <v>8</v>
      </c>
      <c r="I3" s="11"/>
    </row>
    <row r="4">
      <c r="A4" s="8" t="s">
        <v>9</v>
      </c>
      <c r="B4" s="9">
        <v>52.0</v>
      </c>
      <c r="C4" s="10" t="s">
        <v>10</v>
      </c>
      <c r="D4" s="11"/>
      <c r="E4" s="10" t="s">
        <v>11</v>
      </c>
      <c r="F4" s="9">
        <v>406.95</v>
      </c>
      <c r="G4" s="9">
        <v>278.0</v>
      </c>
      <c r="H4" s="14" t="s">
        <v>12</v>
      </c>
      <c r="I4" s="11"/>
    </row>
    <row r="5">
      <c r="A5" s="8" t="s">
        <v>13</v>
      </c>
      <c r="B5" s="9">
        <v>750.0</v>
      </c>
      <c r="C5" s="10" t="s">
        <v>4</v>
      </c>
      <c r="D5" s="11"/>
      <c r="E5" s="10" t="s">
        <v>14</v>
      </c>
      <c r="F5" s="9">
        <v>10.5</v>
      </c>
      <c r="G5" s="9">
        <v>65.0</v>
      </c>
      <c r="H5" s="14" t="s">
        <v>15</v>
      </c>
      <c r="I5" s="15"/>
    </row>
    <row r="6">
      <c r="A6" s="8" t="s">
        <v>16</v>
      </c>
      <c r="B6" s="16">
        <v>40.0</v>
      </c>
      <c r="C6" s="10" t="s">
        <v>4</v>
      </c>
      <c r="D6" s="11"/>
      <c r="E6" s="10" t="s">
        <v>17</v>
      </c>
      <c r="F6" s="9">
        <v>4500.0</v>
      </c>
      <c r="G6" s="9">
        <v>1200.0</v>
      </c>
      <c r="H6" s="14" t="s">
        <v>18</v>
      </c>
      <c r="I6" s="15"/>
    </row>
    <row r="7">
      <c r="A7" s="8" t="s">
        <v>19</v>
      </c>
      <c r="B7" s="17">
        <f>B3*B4*B5</f>
        <v>195000</v>
      </c>
      <c r="C7" s="10" t="s">
        <v>20</v>
      </c>
      <c r="D7" s="11"/>
      <c r="E7" s="10" t="s">
        <v>21</v>
      </c>
      <c r="F7" s="9">
        <v>4.3</v>
      </c>
      <c r="G7" s="9">
        <v>43.0</v>
      </c>
      <c r="H7" s="14" t="s">
        <v>22</v>
      </c>
      <c r="I7" s="15"/>
    </row>
    <row r="8">
      <c r="A8" s="8" t="s">
        <v>23</v>
      </c>
      <c r="B8" s="9">
        <v>500.0</v>
      </c>
      <c r="C8" s="10" t="s">
        <v>10</v>
      </c>
      <c r="D8" s="11"/>
      <c r="E8" s="11"/>
      <c r="F8" s="11"/>
      <c r="G8" s="11"/>
      <c r="H8" s="18"/>
      <c r="I8" s="11"/>
    </row>
    <row r="9">
      <c r="A9" s="19" t="s">
        <v>24</v>
      </c>
      <c r="B9" s="20">
        <v>0.2972</v>
      </c>
      <c r="C9" s="10" t="s">
        <v>25</v>
      </c>
      <c r="D9" s="11"/>
      <c r="E9" s="11"/>
      <c r="F9" s="11"/>
      <c r="G9" s="11"/>
      <c r="H9" s="18"/>
      <c r="I9" s="11"/>
    </row>
    <row r="10">
      <c r="A10" s="21" t="s">
        <v>26</v>
      </c>
      <c r="B10" s="22" t="s">
        <v>27</v>
      </c>
      <c r="C10" s="23" t="s">
        <v>28</v>
      </c>
      <c r="D10" s="24"/>
      <c r="E10" s="24"/>
      <c r="F10" s="24"/>
      <c r="G10" s="24"/>
      <c r="H10" s="25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26" t="s">
        <v>29</v>
      </c>
      <c r="B13" s="27"/>
      <c r="C13" s="27"/>
      <c r="D13" s="27"/>
      <c r="E13" s="27"/>
      <c r="F13" s="27"/>
      <c r="G13" s="27"/>
      <c r="H13" s="27"/>
      <c r="I13" s="28"/>
    </row>
    <row r="14">
      <c r="A14" s="29" t="s">
        <v>30</v>
      </c>
      <c r="B14" s="12" t="s">
        <v>31</v>
      </c>
      <c r="C14" s="12" t="s">
        <v>32</v>
      </c>
      <c r="D14" s="12" t="s">
        <v>33</v>
      </c>
      <c r="E14" s="12" t="s">
        <v>34</v>
      </c>
      <c r="F14" s="12" t="s">
        <v>35</v>
      </c>
      <c r="G14" s="12" t="s">
        <v>36</v>
      </c>
      <c r="H14" s="30" t="s">
        <v>37</v>
      </c>
      <c r="I14" s="31" t="s">
        <v>38</v>
      </c>
    </row>
    <row r="15">
      <c r="A15" s="8" t="s">
        <v>39</v>
      </c>
      <c r="B15" s="10" t="s">
        <v>40</v>
      </c>
      <c r="C15" s="32">
        <f t="shared" ref="C15:C16" si="1">F4</f>
        <v>406.95</v>
      </c>
      <c r="D15" s="32">
        <v>1.0</v>
      </c>
      <c r="E15" s="32">
        <f t="shared" ref="E15:E18" si="2">C15*D15</f>
        <v>406.95</v>
      </c>
      <c r="F15" s="32">
        <f t="shared" ref="F15:F16" si="3">G4</f>
        <v>278</v>
      </c>
      <c r="G15" s="32">
        <v>1.0</v>
      </c>
      <c r="H15" s="32">
        <f t="shared" ref="H15:H18" si="4">F15*G15</f>
        <v>278</v>
      </c>
      <c r="I15" s="14" t="s">
        <v>41</v>
      </c>
    </row>
    <row r="16">
      <c r="A16" s="8" t="s">
        <v>42</v>
      </c>
      <c r="B16" s="10" t="s">
        <v>43</v>
      </c>
      <c r="C16" s="32">
        <f t="shared" si="1"/>
        <v>10.5</v>
      </c>
      <c r="D16" s="32">
        <f>ROUNDUP($B$7/F6,0)</f>
        <v>44</v>
      </c>
      <c r="E16" s="32">
        <f t="shared" si="2"/>
        <v>462</v>
      </c>
      <c r="F16" s="32">
        <f t="shared" si="3"/>
        <v>65</v>
      </c>
      <c r="G16" s="32">
        <f>ROUNDUP($B$7/G6,0)</f>
        <v>163</v>
      </c>
      <c r="H16" s="32">
        <f t="shared" si="4"/>
        <v>10595</v>
      </c>
      <c r="I16" s="14" t="s">
        <v>44</v>
      </c>
    </row>
    <row r="17">
      <c r="A17" s="8" t="s">
        <v>45</v>
      </c>
      <c r="B17" s="10" t="s">
        <v>43</v>
      </c>
      <c r="C17" s="32">
        <v>5.55</v>
      </c>
      <c r="D17" s="32">
        <f>$B$7/$B$8</f>
        <v>390</v>
      </c>
      <c r="E17" s="32">
        <f t="shared" si="2"/>
        <v>2164.5</v>
      </c>
      <c r="F17" s="32">
        <v>5.55</v>
      </c>
      <c r="G17" s="32">
        <f>$B$7/$B$8</f>
        <v>390</v>
      </c>
      <c r="H17" s="32">
        <f t="shared" si="4"/>
        <v>2164.5</v>
      </c>
      <c r="I17" s="14" t="s">
        <v>46</v>
      </c>
    </row>
    <row r="18">
      <c r="A18" s="8" t="s">
        <v>47</v>
      </c>
      <c r="B18" s="10" t="s">
        <v>43</v>
      </c>
      <c r="C18" s="32">
        <f>$B$9</f>
        <v>0.2972</v>
      </c>
      <c r="D18" s="32">
        <f>(F7/1000)*$B$6*$B$4*$B$3</f>
        <v>44.72</v>
      </c>
      <c r="E18" s="32">
        <f t="shared" si="2"/>
        <v>13.290784</v>
      </c>
      <c r="F18" s="32">
        <f>$B$9</f>
        <v>0.2972</v>
      </c>
      <c r="G18" s="32">
        <f>(G7/1000)*$B$6*$B$4*$B$3</f>
        <v>447.2</v>
      </c>
      <c r="H18" s="32">
        <f t="shared" si="4"/>
        <v>132.90784</v>
      </c>
      <c r="I18" s="14" t="s">
        <v>48</v>
      </c>
    </row>
    <row r="19">
      <c r="A19" s="33"/>
      <c r="B19" s="11"/>
      <c r="C19" s="11"/>
      <c r="D19" s="11"/>
      <c r="E19" s="11"/>
      <c r="F19" s="34"/>
      <c r="G19" s="34"/>
      <c r="H19" s="34"/>
      <c r="I19" s="18"/>
    </row>
    <row r="20" ht="15.75" customHeight="1">
      <c r="A20" s="35" t="s">
        <v>49</v>
      </c>
      <c r="B20" s="11"/>
      <c r="C20" s="11"/>
      <c r="D20" s="11"/>
      <c r="E20" s="32">
        <f>SUM(E15:E18)</f>
        <v>3046.740784</v>
      </c>
      <c r="F20" s="34"/>
      <c r="G20" s="34"/>
      <c r="H20" s="32">
        <f>SUM(H15:H18)</f>
        <v>13170.40784</v>
      </c>
      <c r="I20" s="18"/>
    </row>
    <row r="21" ht="15.75" customHeight="1">
      <c r="A21" s="35" t="s">
        <v>50</v>
      </c>
      <c r="B21" s="11"/>
      <c r="C21" s="11"/>
      <c r="D21" s="11"/>
      <c r="E21" s="36">
        <f>E20/$B$7</f>
        <v>0.01562431171</v>
      </c>
      <c r="F21" s="11"/>
      <c r="G21" s="11"/>
      <c r="H21" s="36">
        <f>H20/$B$7</f>
        <v>0.06754055303</v>
      </c>
      <c r="I21" s="18"/>
    </row>
    <row r="22" ht="15.75" customHeight="1">
      <c r="A22" s="37" t="s">
        <v>51</v>
      </c>
      <c r="B22" s="24"/>
      <c r="C22" s="24"/>
      <c r="D22" s="24"/>
      <c r="E22" s="23" t="str">
        <f>IF(E20&lt;H20,"Epson EcoTank L4260","Brother DCP-L2640DW")</f>
        <v>Epson EcoTank L4260</v>
      </c>
      <c r="F22" s="38" t="s">
        <v>52</v>
      </c>
      <c r="G22" s="24"/>
      <c r="H22" s="39">
        <f>ABS(E20-H20)</f>
        <v>10123.66706</v>
      </c>
      <c r="I22" s="2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</row>
    <row r="24" ht="15.75" customHeight="1">
      <c r="A24" s="26" t="s">
        <v>53</v>
      </c>
      <c r="B24" s="27"/>
      <c r="C24" s="27"/>
      <c r="D24" s="28"/>
      <c r="E24" s="11"/>
      <c r="F24" s="26" t="s">
        <v>54</v>
      </c>
      <c r="G24" s="27"/>
      <c r="H24" s="28"/>
      <c r="I24" s="11"/>
    </row>
    <row r="25" ht="15.75" customHeight="1">
      <c r="A25" s="29" t="s">
        <v>55</v>
      </c>
      <c r="B25" s="12" t="s">
        <v>56</v>
      </c>
      <c r="C25" s="12" t="s">
        <v>57</v>
      </c>
      <c r="D25" s="13" t="s">
        <v>38</v>
      </c>
      <c r="E25" s="11"/>
      <c r="F25" s="29" t="s">
        <v>55</v>
      </c>
      <c r="G25" s="12" t="s">
        <v>58</v>
      </c>
      <c r="H25" s="13" t="s">
        <v>38</v>
      </c>
      <c r="I25" s="11"/>
    </row>
    <row r="26" ht="15.75" customHeight="1">
      <c r="A26" s="8" t="s">
        <v>59</v>
      </c>
      <c r="B26" s="32">
        <f t="shared" ref="B26:C26" si="5">5*$B$4*$B$3</f>
        <v>1300</v>
      </c>
      <c r="C26" s="32">
        <f t="shared" si="5"/>
        <v>1300</v>
      </c>
      <c r="D26" s="14" t="s">
        <v>60</v>
      </c>
      <c r="E26" s="11"/>
      <c r="F26" s="8" t="s">
        <v>61</v>
      </c>
      <c r="G26" s="32">
        <f>ABS(F4-G4)</f>
        <v>128.95</v>
      </c>
      <c r="H26" s="14" t="s">
        <v>62</v>
      </c>
      <c r="I26" s="11"/>
    </row>
    <row r="27" ht="15.75" customHeight="1">
      <c r="A27" s="8" t="s">
        <v>63</v>
      </c>
      <c r="B27" s="32">
        <f t="shared" ref="B27:C27" si="6">ROUNDUP(B26/F6,0)</f>
        <v>1</v>
      </c>
      <c r="C27" s="32">
        <f t="shared" si="6"/>
        <v>2</v>
      </c>
      <c r="D27" s="14" t="s">
        <v>64</v>
      </c>
      <c r="E27" s="11"/>
      <c r="F27" s="8" t="s">
        <v>65</v>
      </c>
      <c r="G27" s="36">
        <f>F5/F6 + 5.55/$B$8 + ((F7/1000)*$B$6*$B$4*$B$3*$B$9)/$B$7</f>
        <v>0.0135014912</v>
      </c>
      <c r="H27" s="14" t="s">
        <v>66</v>
      </c>
      <c r="I27" s="11"/>
    </row>
    <row r="28" ht="15.75" customHeight="1">
      <c r="A28" s="21" t="s">
        <v>67</v>
      </c>
      <c r="B28" s="39">
        <f t="shared" ref="B28:C28" si="7">F4+(B27*F5)+((B26/$B$8)*5.55)+((F7/1000)*$B$6*$B$4*$B$3*(5/$B$5))*$B$9</f>
        <v>431.9686052</v>
      </c>
      <c r="C28" s="39">
        <f t="shared" si="7"/>
        <v>423.3160523</v>
      </c>
      <c r="D28" s="40" t="s">
        <v>68</v>
      </c>
      <c r="E28" s="11"/>
      <c r="F28" s="8" t="s">
        <v>69</v>
      </c>
      <c r="G28" s="36">
        <f>G5/G6 + 5.55/$B$8 + ((G7/1000)*$B$6*$B$4*$B$3*$B$9)/$B$7</f>
        <v>0.06594824533</v>
      </c>
      <c r="H28" s="14" t="s">
        <v>66</v>
      </c>
      <c r="I28" s="11"/>
    </row>
    <row r="29" ht="21.0" customHeight="1">
      <c r="A29" s="11"/>
      <c r="B29" s="11"/>
      <c r="C29" s="11"/>
      <c r="D29" s="11"/>
      <c r="E29" s="11"/>
      <c r="F29" s="8" t="s">
        <v>70</v>
      </c>
      <c r="G29" s="32">
        <f>IF(G28&gt;G27,G26/(G28-G27),"No positive break-even")</f>
        <v>2458.684091</v>
      </c>
      <c r="H29" s="14" t="s">
        <v>71</v>
      </c>
      <c r="I29" s="11"/>
    </row>
    <row r="30" ht="15.75" customHeight="1">
      <c r="A30" s="11"/>
      <c r="B30" s="11"/>
      <c r="C30" s="11"/>
      <c r="D30" s="11"/>
      <c r="E30" s="11"/>
      <c r="F30" s="21" t="s">
        <v>72</v>
      </c>
      <c r="G30" s="39">
        <f>IF(ISNUMBER(G29),G29/$B$5,"N/A")</f>
        <v>3.278245454</v>
      </c>
      <c r="H30" s="40" t="s">
        <v>73</v>
      </c>
      <c r="I30" s="1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26" width="8.71"/>
  </cols>
  <sheetData>
    <row r="1">
      <c r="A1" s="41" t="s">
        <v>74</v>
      </c>
    </row>
    <row r="2">
      <c r="A2" s="42" t="s">
        <v>75</v>
      </c>
      <c r="B2" s="42" t="s">
        <v>76</v>
      </c>
      <c r="C2" s="42" t="s">
        <v>77</v>
      </c>
    </row>
    <row r="3">
      <c r="A3" s="42">
        <v>0.0</v>
      </c>
      <c r="B3" s="43">
        <f>'TCO Model'!$F$4 + (A3/'TCO Model'!$F$6)*'TCO Model'!$F$5 + (A3/'TCO Model'!$B$8)*5.55 + ((( 'TCO Model'!$F$7/1000)*'TCO Model'!$B$6*'TCO Model'!$B$4*'TCO Model'!$B$3)*'TCO Model'!$B$9)*(A3/'TCO Model'!$B$7)</f>
        <v>406.95</v>
      </c>
      <c r="C3" s="43">
        <f>'TCO Model'!$G$4 + (A3/'TCO Model'!$G$6)*'TCO Model'!$G$5 + (A3/'TCO Model'!$B$8)*5.55 + ((( 'TCO Model'!$G$7/1000)*'TCO Model'!$B$6*'TCO Model'!$B$4*'TCO Model'!$B$3)*'TCO Model'!$B$9)*(A3/'TCO Model'!$B$7)</f>
        <v>278</v>
      </c>
    </row>
    <row r="4">
      <c r="A4" s="42">
        <v>25000.0</v>
      </c>
      <c r="B4" s="43">
        <f>'TCO Model'!$F$4 + (A4/'TCO Model'!$F$6)*'TCO Model'!$F$5 + (A4/'TCO Model'!$B$8)*5.55 + ((( 'TCO Model'!$F$7/1000)*'TCO Model'!$B$6*'TCO Model'!$B$4*'TCO Model'!$B$3)*'TCO Model'!$B$9)*(A4/'TCO Model'!$B$7)</f>
        <v>744.48728</v>
      </c>
      <c r="C4" s="43">
        <f>'TCO Model'!$G$4 + (A4/'TCO Model'!$G$6)*'TCO Model'!$G$5 + (A4/'TCO Model'!$B$8)*5.55 + ((( 'TCO Model'!$G$7/1000)*'TCO Model'!$B$6*'TCO Model'!$B$4*'TCO Model'!$B$3)*'TCO Model'!$B$9)*(A4/'TCO Model'!$B$7)</f>
        <v>1926.706133</v>
      </c>
    </row>
    <row r="5">
      <c r="A5" s="42">
        <v>50000.0</v>
      </c>
      <c r="B5" s="43">
        <f>'TCO Model'!$F$4 + (A5/'TCO Model'!$F$6)*'TCO Model'!$F$5 + (A5/'TCO Model'!$B$8)*5.55 + ((( 'TCO Model'!$F$7/1000)*'TCO Model'!$B$6*'TCO Model'!$B$4*'TCO Model'!$B$3)*'TCO Model'!$B$9)*(A5/'TCO Model'!$B$7)</f>
        <v>1082.02456</v>
      </c>
      <c r="C5" s="43">
        <f>'TCO Model'!$G$4 + (A5/'TCO Model'!$G$6)*'TCO Model'!$G$5 + (A5/'TCO Model'!$B$8)*5.55 + ((( 'TCO Model'!$G$7/1000)*'TCO Model'!$B$6*'TCO Model'!$B$4*'TCO Model'!$B$3)*'TCO Model'!$B$9)*(A5/'TCO Model'!$B$7)</f>
        <v>3575.412267</v>
      </c>
    </row>
    <row r="6">
      <c r="A6" s="42">
        <v>75000.0</v>
      </c>
      <c r="B6" s="43">
        <f>'TCO Model'!$F$4 + (A6/'TCO Model'!$F$6)*'TCO Model'!$F$5 + (A6/'TCO Model'!$B$8)*5.55 + ((( 'TCO Model'!$F$7/1000)*'TCO Model'!$B$6*'TCO Model'!$B$4*'TCO Model'!$B$3)*'TCO Model'!$B$9)*(A6/'TCO Model'!$B$7)</f>
        <v>1419.56184</v>
      </c>
      <c r="C6" s="43">
        <f>'TCO Model'!$G$4 + (A6/'TCO Model'!$G$6)*'TCO Model'!$G$5 + (A6/'TCO Model'!$B$8)*5.55 + ((( 'TCO Model'!$G$7/1000)*'TCO Model'!$B$6*'TCO Model'!$B$4*'TCO Model'!$B$3)*'TCO Model'!$B$9)*(A6/'TCO Model'!$B$7)</f>
        <v>5224.1184</v>
      </c>
    </row>
    <row r="7">
      <c r="A7" s="42">
        <v>100000.0</v>
      </c>
      <c r="B7" s="43">
        <f>'TCO Model'!$F$4 + (A7/'TCO Model'!$F$6)*'TCO Model'!$F$5 + (A7/'TCO Model'!$B$8)*5.55 + ((( 'TCO Model'!$F$7/1000)*'TCO Model'!$B$6*'TCO Model'!$B$4*'TCO Model'!$B$3)*'TCO Model'!$B$9)*(A7/'TCO Model'!$B$7)</f>
        <v>1757.09912</v>
      </c>
      <c r="C7" s="43">
        <f>'TCO Model'!$G$4 + (A7/'TCO Model'!$G$6)*'TCO Model'!$G$5 + (A7/'TCO Model'!$B$8)*5.55 + ((( 'TCO Model'!$G$7/1000)*'TCO Model'!$B$6*'TCO Model'!$B$4*'TCO Model'!$B$3)*'TCO Model'!$B$9)*(A7/'TCO Model'!$B$7)</f>
        <v>6872.824533</v>
      </c>
    </row>
    <row r="8">
      <c r="A8" s="42">
        <v>125000.0</v>
      </c>
      <c r="B8" s="43">
        <f>'TCO Model'!$F$4 + (A8/'TCO Model'!$F$6)*'TCO Model'!$F$5 + (A8/'TCO Model'!$B$8)*5.55 + ((( 'TCO Model'!$F$7/1000)*'TCO Model'!$B$6*'TCO Model'!$B$4*'TCO Model'!$B$3)*'TCO Model'!$B$9)*(A8/'TCO Model'!$B$7)</f>
        <v>2094.6364</v>
      </c>
      <c r="C8" s="43">
        <f>'TCO Model'!$G$4 + (A8/'TCO Model'!$G$6)*'TCO Model'!$G$5 + (A8/'TCO Model'!$B$8)*5.55 + ((( 'TCO Model'!$G$7/1000)*'TCO Model'!$B$6*'TCO Model'!$B$4*'TCO Model'!$B$3)*'TCO Model'!$B$9)*(A8/'TCO Model'!$B$7)</f>
        <v>8521.530667</v>
      </c>
    </row>
    <row r="9">
      <c r="A9" s="42">
        <v>150000.0</v>
      </c>
      <c r="B9" s="43">
        <f>'TCO Model'!$F$4 + (A9/'TCO Model'!$F$6)*'TCO Model'!$F$5 + (A9/'TCO Model'!$B$8)*5.55 + ((( 'TCO Model'!$F$7/1000)*'TCO Model'!$B$6*'TCO Model'!$B$4*'TCO Model'!$B$3)*'TCO Model'!$B$9)*(A9/'TCO Model'!$B$7)</f>
        <v>2432.17368</v>
      </c>
      <c r="C9" s="43">
        <f>'TCO Model'!$G$4 + (A9/'TCO Model'!$G$6)*'TCO Model'!$G$5 + (A9/'TCO Model'!$B$8)*5.55 + ((( 'TCO Model'!$G$7/1000)*'TCO Model'!$B$6*'TCO Model'!$B$4*'TCO Model'!$B$3)*'TCO Model'!$B$9)*(A9/'TCO Model'!$B$7)</f>
        <v>10170.2368</v>
      </c>
    </row>
    <row r="10">
      <c r="A10" s="42">
        <v>175000.0</v>
      </c>
      <c r="B10" s="43">
        <f>'TCO Model'!$F$4 + (A10/'TCO Model'!$F$6)*'TCO Model'!$F$5 + (A10/'TCO Model'!$B$8)*5.55 + ((( 'TCO Model'!$F$7/1000)*'TCO Model'!$B$6*'TCO Model'!$B$4*'TCO Model'!$B$3)*'TCO Model'!$B$9)*(A10/'TCO Model'!$B$7)</f>
        <v>2769.71096</v>
      </c>
      <c r="C10" s="43">
        <f>'TCO Model'!$G$4 + (A10/'TCO Model'!$G$6)*'TCO Model'!$G$5 + (A10/'TCO Model'!$B$8)*5.55 + ((( 'TCO Model'!$G$7/1000)*'TCO Model'!$B$6*'TCO Model'!$B$4*'TCO Model'!$B$3)*'TCO Model'!$B$9)*(A10/'TCO Model'!$B$7)</f>
        <v>11818.94293</v>
      </c>
    </row>
    <row r="11">
      <c r="A11" s="42">
        <v>200000.0</v>
      </c>
      <c r="B11" s="43">
        <f>'TCO Model'!$F$4 + (A11/'TCO Model'!$F$6)*'TCO Model'!$F$5 + (A11/'TCO Model'!$B$8)*5.55 + ((( 'TCO Model'!$F$7/1000)*'TCO Model'!$B$6*'TCO Model'!$B$4*'TCO Model'!$B$3)*'TCO Model'!$B$9)*(A11/'TCO Model'!$B$7)</f>
        <v>3107.24824</v>
      </c>
      <c r="C11" s="43">
        <f>'TCO Model'!$G$4 + (A11/'TCO Model'!$G$6)*'TCO Model'!$G$5 + (A11/'TCO Model'!$B$8)*5.55 + ((( 'TCO Model'!$G$7/1000)*'TCO Model'!$B$6*'TCO Model'!$B$4*'TCO Model'!$B$3)*'TCO Model'!$B$9)*(A11/'TCO Model'!$B$7)</f>
        <v>13467.64907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>
      <c r="A1" s="44" t="s">
        <v>78</v>
      </c>
      <c r="B1" s="44" t="s">
        <v>79</v>
      </c>
    </row>
    <row r="2">
      <c r="A2" s="42" t="s">
        <v>4</v>
      </c>
      <c r="B2" s="42" t="s">
        <v>80</v>
      </c>
    </row>
    <row r="3">
      <c r="A3" s="42" t="s">
        <v>81</v>
      </c>
      <c r="B3" s="42" t="s">
        <v>82</v>
      </c>
    </row>
    <row r="4">
      <c r="A4" s="42" t="s">
        <v>83</v>
      </c>
      <c r="B4" s="42" t="s">
        <v>84</v>
      </c>
    </row>
    <row r="5">
      <c r="A5" s="42" t="s">
        <v>85</v>
      </c>
      <c r="B5" s="42" t="s">
        <v>86</v>
      </c>
    </row>
    <row r="6">
      <c r="A6" s="42" t="s">
        <v>87</v>
      </c>
      <c r="B6" s="42" t="s">
        <v>88</v>
      </c>
    </row>
    <row r="7">
      <c r="A7" s="42" t="s">
        <v>89</v>
      </c>
      <c r="B7" s="42" t="s">
        <v>90</v>
      </c>
    </row>
    <row r="8">
      <c r="A8" s="42" t="s">
        <v>91</v>
      </c>
      <c r="B8" s="42" t="s">
        <v>92</v>
      </c>
    </row>
    <row r="9">
      <c r="A9" s="42" t="s">
        <v>93</v>
      </c>
      <c r="B9" s="42" t="s">
        <v>94</v>
      </c>
    </row>
    <row r="10">
      <c r="A10" s="42" t="s">
        <v>95</v>
      </c>
      <c r="B10" s="42" t="s">
        <v>96</v>
      </c>
    </row>
    <row r="11">
      <c r="A11" s="42" t="s">
        <v>97</v>
      </c>
      <c r="B11" s="4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